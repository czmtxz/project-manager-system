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虎子 (2)" sheetId="1" state="hidden" r:id="rId3"/>
    <sheet name="虎子 (3)" sheetId="2" state="visible" r:id="rId4"/>
    <sheet name="虎子 (4)" sheetId="3" state="visible" r:id="rId5"/>
    <sheet name="景鸿" sheetId="4" state="visible" r:id="rId6"/>
    <sheet name="Sheet2" sheetId="5" state="visible" r:id="rId7"/>
    <sheet name="Sheet3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<sst xmlns="http://schemas.openxmlformats.org/spreadsheetml/2006/main" count="194" uniqueCount="66">
  <si>
    <t xml:space="preserve">通济往来明细表               嘉利鑫</t>
  </si>
  <si>
    <t xml:space="preserve">收款日期</t>
  </si>
  <si>
    <t xml:space="preserve">金额</t>
  </si>
  <si>
    <t xml:space="preserve">销售日期</t>
  </si>
  <si>
    <t xml:space="preserve">规格</t>
  </si>
  <si>
    <t xml:space="preserve">车数</t>
  </si>
  <si>
    <t xml:space="preserve">销售吨数</t>
  </si>
  <si>
    <t xml:space="preserve">单价</t>
  </si>
  <si>
    <t xml:space="preserve">销售金额</t>
  </si>
  <si>
    <t xml:space="preserve">余款</t>
  </si>
  <si>
    <t xml:space="preserve">备注</t>
  </si>
  <si>
    <t xml:space="preserve">2026.04.06</t>
  </si>
  <si>
    <t xml:space="preserve">沙</t>
  </si>
  <si>
    <t xml:space="preserve">1--2</t>
  </si>
  <si>
    <t xml:space="preserve">2026.04.08</t>
  </si>
  <si>
    <t xml:space="preserve">2026.04.09</t>
  </si>
  <si>
    <t xml:space="preserve">卡30万</t>
  </si>
  <si>
    <t xml:space="preserve">2026.4.10</t>
  </si>
  <si>
    <t xml:space="preserve">2026.04.18</t>
  </si>
  <si>
    <t xml:space="preserve">2026.4.18</t>
  </si>
  <si>
    <t xml:space="preserve">2026.04.19</t>
  </si>
  <si>
    <t xml:space="preserve">卡</t>
  </si>
  <si>
    <t xml:space="preserve">2026.04.20</t>
  </si>
  <si>
    <t xml:space="preserve">帐</t>
  </si>
  <si>
    <t xml:space="preserve">2026.04.21</t>
  </si>
  <si>
    <t xml:space="preserve">2026.04.22</t>
  </si>
  <si>
    <t xml:space="preserve">退张玉君卡</t>
  </si>
  <si>
    <t xml:space="preserve">个人付款全部退</t>
  </si>
  <si>
    <t xml:space="preserve">2026.04.23</t>
  </si>
  <si>
    <t xml:space="preserve">2026.04.24</t>
  </si>
  <si>
    <t xml:space="preserve">2026.04.25</t>
  </si>
  <si>
    <t xml:space="preserve">2026.04.26</t>
  </si>
  <si>
    <t xml:space="preserve">2026.04.27</t>
  </si>
  <si>
    <t xml:space="preserve">2026.04.28</t>
  </si>
  <si>
    <t xml:space="preserve">2026.04.29</t>
  </si>
  <si>
    <t xml:space="preserve">2026.04.30</t>
  </si>
  <si>
    <t xml:space="preserve">2026.05.01</t>
  </si>
  <si>
    <t xml:space="preserve">2026.05.02</t>
  </si>
  <si>
    <t xml:space="preserve">2026.05.03</t>
  </si>
  <si>
    <t xml:space="preserve">2026.05.04</t>
  </si>
  <si>
    <t xml:space="preserve">2026.05.05</t>
  </si>
  <si>
    <t xml:space="preserve">2026.05.07</t>
  </si>
  <si>
    <t xml:space="preserve">2026.05.08</t>
  </si>
  <si>
    <t xml:space="preserve">2026.05.09</t>
  </si>
  <si>
    <t xml:space="preserve">2026.05.11</t>
  </si>
  <si>
    <t xml:space="preserve">2026.05.10</t>
  </si>
  <si>
    <t xml:space="preserve">2026.05.13</t>
  </si>
  <si>
    <t xml:space="preserve">税款</t>
  </si>
  <si>
    <t xml:space="preserve">2026.05.16</t>
  </si>
  <si>
    <t xml:space="preserve">2--3</t>
  </si>
  <si>
    <t xml:space="preserve">2025.05.18</t>
  </si>
  <si>
    <t xml:space="preserve">2026.05.23</t>
  </si>
  <si>
    <t xml:space="preserve">2026.05.24</t>
  </si>
  <si>
    <t xml:space="preserve">2026.05.26</t>
  </si>
  <si>
    <t xml:space="preserve">2026.05.30</t>
  </si>
  <si>
    <t xml:space="preserve">2025.05.20</t>
  </si>
  <si>
    <t xml:space="preserve">沙子</t>
  </si>
  <si>
    <t xml:space="preserve">2025.05.21</t>
  </si>
  <si>
    <t xml:space="preserve">2025.05.26</t>
  </si>
  <si>
    <t xml:space="preserve">2025.05.28</t>
  </si>
  <si>
    <t xml:space="preserve">2025.05.29</t>
  </si>
  <si>
    <t xml:space="preserve">2026.05.17</t>
  </si>
  <si>
    <t xml:space="preserve">2026.05.20</t>
  </si>
  <si>
    <t xml:space="preserve">2026.05.21</t>
  </si>
  <si>
    <t xml:space="preserve">2026.05.22</t>
  </si>
  <si>
    <t xml:space="preserve">2026.05.25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</si>
</sst>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_ "/>
  </numFmts>
  <fonts count="5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4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H34" activeCellId="0" sqref="H3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3.77"/>
    <col collapsed="false" customWidth="true" hidden="false" outlineLevel="0" max="2" min="2" style="1" width="13.13"/>
    <col collapsed="false" customWidth="true" hidden="false" outlineLevel="0" max="3" min="3" style="1" width="13.63"/>
    <col collapsed="false" customWidth="true" hidden="false" outlineLevel="0" max="6" min="6" style="1" width="10.37"/>
    <col collapsed="false" customWidth="true" hidden="false" outlineLevel="0" max="8" min="8" style="1" width="11.76"/>
    <col collapsed="false" customWidth="true" hidden="false" outlineLevel="0" max="9" min="9" style="1" width="13.13"/>
    <col collapsed="false" customWidth="true" hidden="false" outlineLevel="0" max="10" min="10" style="1" width="14.13"/>
  </cols>
  <sheetData>
    <row r="1" customFormat="false" ht="17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7.25" hidden="false" customHeight="false" outlineLevel="0" collapsed="false">
      <c r="A3" s="3" t="s">
        <v>11</v>
      </c>
      <c r="B3" s="4"/>
      <c r="C3" s="2"/>
      <c r="D3" s="2"/>
      <c r="E3" s="2"/>
      <c r="F3" s="2"/>
      <c r="G3" s="2"/>
      <c r="H3" s="2"/>
      <c r="I3" s="2"/>
      <c r="J3" s="3"/>
    </row>
    <row r="4" customFormat="false" ht="17.25" hidden="false" customHeight="false" outlineLevel="0" collapsed="false">
      <c r="A4" s="3"/>
      <c r="B4" s="4"/>
      <c r="C4" s="2" t="s">
        <v>11</v>
      </c>
      <c r="D4" s="2" t="s">
        <v>12</v>
      </c>
      <c r="E4" s="2" t="n">
        <v>12</v>
      </c>
      <c r="F4" s="2" t="n">
        <v>457</v>
      </c>
      <c r="G4" s="2" t="n">
        <v>28</v>
      </c>
      <c r="H4" s="2" t="n">
        <f aca="false">F4*G4</f>
        <v>12796</v>
      </c>
      <c r="I4" s="2" t="n">
        <f aca="false">I3-H4</f>
        <v>-12796</v>
      </c>
      <c r="J4" s="3"/>
    </row>
    <row r="5" customFormat="false" ht="17.25" hidden="false" customHeight="false" outlineLevel="0" collapsed="false">
      <c r="A5" s="3"/>
      <c r="B5" s="4"/>
      <c r="C5" s="2"/>
      <c r="D5" s="2" t="n">
        <v>0.5</v>
      </c>
      <c r="E5" s="2" t="n">
        <v>12</v>
      </c>
      <c r="F5" s="2" t="n">
        <v>420.4</v>
      </c>
      <c r="G5" s="2" t="n">
        <v>23</v>
      </c>
      <c r="H5" s="2" t="n">
        <f aca="false">F5*G5</f>
        <v>9669.2</v>
      </c>
      <c r="I5" s="2" t="n">
        <f aca="false">I4-H5</f>
        <v>-22465.2</v>
      </c>
      <c r="J5" s="3"/>
    </row>
    <row r="6" customFormat="false" ht="17.25" hidden="false" customHeight="false" outlineLevel="0" collapsed="false">
      <c r="A6" s="3"/>
      <c r="B6" s="4"/>
      <c r="C6" s="2"/>
      <c r="D6" s="2" t="s">
        <v>13</v>
      </c>
      <c r="E6" s="2" t="n">
        <v>12</v>
      </c>
      <c r="F6" s="2" t="n">
        <v>423.5</v>
      </c>
      <c r="G6" s="2" t="n">
        <v>25</v>
      </c>
      <c r="H6" s="2" t="n">
        <f aca="false">F6*G6</f>
        <v>10587.5</v>
      </c>
      <c r="I6" s="2" t="n">
        <f aca="false">I5-H6</f>
        <v>-33052.7</v>
      </c>
      <c r="J6" s="3"/>
    </row>
    <row r="7" customFormat="false" ht="17.25" hidden="false" customHeight="false" outlineLevel="0" collapsed="false">
      <c r="A7" s="3" t="s">
        <v>14</v>
      </c>
      <c r="B7" s="4"/>
      <c r="C7" s="2" t="s">
        <v>14</v>
      </c>
      <c r="D7" s="2" t="s">
        <v>12</v>
      </c>
      <c r="E7" s="2" t="n">
        <v>24</v>
      </c>
      <c r="F7" s="2" t="n">
        <v>966.5</v>
      </c>
      <c r="G7" s="2" t="n">
        <v>28</v>
      </c>
      <c r="H7" s="2" t="n">
        <f aca="false">F7*G7</f>
        <v>27062</v>
      </c>
      <c r="I7" s="2" t="n">
        <f aca="false">I6+B7-H7</f>
        <v>-60114.7</v>
      </c>
      <c r="J7" s="3"/>
    </row>
    <row r="8" customFormat="false" ht="17.25" hidden="false" customHeight="false" outlineLevel="0" collapsed="false">
      <c r="A8" s="3" t="s">
        <v>15</v>
      </c>
      <c r="B8" s="4"/>
      <c r="C8" s="2"/>
      <c r="D8" s="2" t="n">
        <v>0.5</v>
      </c>
      <c r="E8" s="2" t="n">
        <v>18</v>
      </c>
      <c r="F8" s="2" t="n">
        <v>676.7</v>
      </c>
      <c r="G8" s="2" t="n">
        <v>23</v>
      </c>
      <c r="H8" s="2" t="n">
        <f aca="false">F8*G8</f>
        <v>15564.1</v>
      </c>
      <c r="I8" s="2" t="n">
        <f aca="false">I7+B8-H8</f>
        <v>-75678.8</v>
      </c>
      <c r="J8" s="3"/>
    </row>
    <row r="9" customFormat="false" ht="17.25" hidden="false" customHeight="false" outlineLevel="0" collapsed="false">
      <c r="A9" s="3"/>
      <c r="B9" s="4"/>
      <c r="C9" s="2"/>
      <c r="D9" s="2" t="s">
        <v>13</v>
      </c>
      <c r="E9" s="2" t="n">
        <v>16</v>
      </c>
      <c r="F9" s="2" t="n">
        <v>645.2</v>
      </c>
      <c r="G9" s="2" t="n">
        <v>25</v>
      </c>
      <c r="H9" s="2" t="n">
        <f aca="false">F9*G9</f>
        <v>16130</v>
      </c>
      <c r="I9" s="2" t="n">
        <f aca="false">I8+B9-H9</f>
        <v>-91808.8</v>
      </c>
      <c r="J9" s="3"/>
    </row>
    <row r="10" customFormat="false" ht="17.25" hidden="false" customHeight="false" outlineLevel="0" collapsed="false">
      <c r="A10" s="3"/>
      <c r="B10" s="4"/>
      <c r="C10" s="2" t="s">
        <v>15</v>
      </c>
      <c r="D10" s="2" t="s">
        <v>12</v>
      </c>
      <c r="E10" s="2" t="n">
        <v>11</v>
      </c>
      <c r="F10" s="2" t="n">
        <v>470.1</v>
      </c>
      <c r="G10" s="2" t="n">
        <v>28</v>
      </c>
      <c r="H10" s="2" t="n">
        <f aca="false">F10*G10</f>
        <v>13162.8</v>
      </c>
      <c r="I10" s="2" t="n">
        <f aca="false">I9+B10-H10</f>
        <v>-104971.6</v>
      </c>
      <c r="J10" s="3"/>
    </row>
    <row r="11" customFormat="false" ht="17.25" hidden="false" customHeight="false" outlineLevel="0" collapsed="false">
      <c r="A11" s="3"/>
      <c r="B11" s="4"/>
      <c r="C11" s="2"/>
      <c r="D11" s="2" t="s">
        <v>13</v>
      </c>
      <c r="E11" s="2" t="n">
        <v>12</v>
      </c>
      <c r="F11" s="2" t="n">
        <v>500.1</v>
      </c>
      <c r="G11" s="2" t="n">
        <v>25</v>
      </c>
      <c r="H11" s="2" t="n">
        <f aca="false">F11*G11</f>
        <v>12502.5</v>
      </c>
      <c r="I11" s="2" t="n">
        <f aca="false">I10+B11-H11</f>
        <v>-117474.1</v>
      </c>
      <c r="J11" s="3"/>
    </row>
    <row r="12" customFormat="false" ht="17.25" hidden="false" customHeight="false" outlineLevel="0" collapsed="false">
      <c r="A12" s="3"/>
      <c r="B12" s="4"/>
      <c r="C12" s="2"/>
      <c r="D12" s="2" t="n">
        <v>0.5</v>
      </c>
      <c r="E12" s="2" t="n">
        <v>12</v>
      </c>
      <c r="F12" s="2" t="n">
        <v>497.2</v>
      </c>
      <c r="G12" s="2" t="n">
        <v>23</v>
      </c>
      <c r="H12" s="2" t="n">
        <f aca="false">F12*G12</f>
        <v>11435.6</v>
      </c>
      <c r="I12" s="2" t="n">
        <f aca="false">I11+B12-H12</f>
        <v>-128909.7</v>
      </c>
      <c r="J12" s="3"/>
      <c r="K12" s="5" t="s">
        <v>16</v>
      </c>
    </row>
    <row r="13" customFormat="false" ht="17.25" hidden="false" customHeight="false" outlineLevel="0" collapsed="false">
      <c r="A13" s="3"/>
      <c r="B13" s="4"/>
      <c r="C13" s="2" t="s">
        <v>17</v>
      </c>
      <c r="D13" s="2" t="s">
        <v>13</v>
      </c>
      <c r="E13" s="2" t="n">
        <v>2</v>
      </c>
      <c r="F13" s="2" t="n">
        <v>75.8</v>
      </c>
      <c r="G13" s="2" t="n">
        <v>25</v>
      </c>
      <c r="H13" s="2" t="n">
        <f aca="false">F13*G13</f>
        <v>1895</v>
      </c>
      <c r="I13" s="2" t="n">
        <f aca="false">I12+B13-H13</f>
        <v>-130804.7</v>
      </c>
      <c r="J13" s="3"/>
    </row>
    <row r="14" customFormat="false" ht="17.25" hidden="false" customHeight="false" outlineLevel="0" collapsed="false">
      <c r="A14" s="3" t="s">
        <v>18</v>
      </c>
      <c r="B14" s="4"/>
      <c r="C14" s="2" t="s">
        <v>19</v>
      </c>
      <c r="D14" s="2" t="n">
        <v>0.5</v>
      </c>
      <c r="E14" s="2" t="n">
        <v>3</v>
      </c>
      <c r="F14" s="2" t="n">
        <v>105</v>
      </c>
      <c r="G14" s="2" t="n">
        <v>23</v>
      </c>
      <c r="H14" s="2" t="n">
        <f aca="false">F14*G14</f>
        <v>2415</v>
      </c>
      <c r="I14" s="2" t="n">
        <f aca="false">I13+B14-H14</f>
        <v>-133219.7</v>
      </c>
      <c r="J14" s="3"/>
    </row>
    <row r="15" customFormat="false" ht="17.25" hidden="false" customHeight="false" outlineLevel="0" collapsed="false">
      <c r="A15" s="3"/>
      <c r="B15" s="4"/>
      <c r="C15" s="2"/>
      <c r="D15" s="2" t="s">
        <v>13</v>
      </c>
      <c r="E15" s="2" t="n">
        <v>18</v>
      </c>
      <c r="F15" s="2" t="n">
        <v>630.2</v>
      </c>
      <c r="G15" s="2" t="n">
        <v>25</v>
      </c>
      <c r="H15" s="2" t="n">
        <f aca="false">F15*G15</f>
        <v>15755</v>
      </c>
      <c r="I15" s="2" t="n">
        <f aca="false">I14+B15-H15</f>
        <v>-148974.7</v>
      </c>
      <c r="J15" s="3"/>
    </row>
    <row r="16" customFormat="false" ht="17.25" hidden="false" customHeight="false" outlineLevel="0" collapsed="false">
      <c r="A16" s="3" t="s">
        <v>20</v>
      </c>
      <c r="B16" s="4"/>
      <c r="C16" s="2" t="s">
        <v>20</v>
      </c>
      <c r="D16" s="2" t="s">
        <v>12</v>
      </c>
      <c r="E16" s="2" t="n">
        <v>14</v>
      </c>
      <c r="F16" s="2" t="n">
        <v>834.9</v>
      </c>
      <c r="G16" s="2" t="n">
        <v>28</v>
      </c>
      <c r="H16" s="2" t="n">
        <f aca="false">F16*G16</f>
        <v>23377.2</v>
      </c>
      <c r="I16" s="2" t="n">
        <f aca="false">I15+B16-H16</f>
        <v>-172351.9</v>
      </c>
      <c r="J16" s="3"/>
      <c r="K16" s="1" t="s">
        <v>21</v>
      </c>
    </row>
    <row r="17" customFormat="false" ht="17.25" hidden="false" customHeight="false" outlineLevel="0" collapsed="false">
      <c r="A17" s="3" t="s">
        <v>22</v>
      </c>
      <c r="B17" s="2" t="n">
        <v>100000</v>
      </c>
      <c r="C17" s="2"/>
      <c r="D17" s="2" t="n">
        <v>0.5</v>
      </c>
      <c r="E17" s="2" t="n">
        <v>6</v>
      </c>
      <c r="F17" s="2" t="n">
        <v>317</v>
      </c>
      <c r="G17" s="2" t="n">
        <v>23</v>
      </c>
      <c r="H17" s="2" t="n">
        <f aca="false">F17*G17</f>
        <v>7291</v>
      </c>
      <c r="I17" s="2" t="n">
        <f aca="false">I16+B17-H17</f>
        <v>-79642.9</v>
      </c>
      <c r="J17" s="3"/>
    </row>
    <row r="18" customFormat="false" ht="17.25" hidden="false" customHeight="false" outlineLevel="0" collapsed="false">
      <c r="A18" s="3"/>
      <c r="B18" s="2"/>
      <c r="C18" s="2"/>
      <c r="D18" s="2" t="s">
        <v>13</v>
      </c>
      <c r="E18" s="2" t="n">
        <v>72</v>
      </c>
      <c r="F18" s="2" t="n">
        <v>2748.6</v>
      </c>
      <c r="G18" s="2" t="n">
        <v>25</v>
      </c>
      <c r="H18" s="2" t="n">
        <f aca="false">F18*G18</f>
        <v>68715</v>
      </c>
      <c r="I18" s="2" t="n">
        <f aca="false">I17+B18-H18</f>
        <v>-148357.9</v>
      </c>
      <c r="J18" s="3"/>
      <c r="K18" s="1" t="s">
        <v>23</v>
      </c>
    </row>
    <row r="19" customFormat="false" ht="17.25" hidden="false" customHeight="false" outlineLevel="0" collapsed="false">
      <c r="A19" s="3"/>
      <c r="B19" s="2"/>
      <c r="C19" s="2" t="s">
        <v>22</v>
      </c>
      <c r="D19" s="2" t="n">
        <v>0.5</v>
      </c>
      <c r="E19" s="2" t="n">
        <v>7</v>
      </c>
      <c r="F19" s="2" t="n">
        <v>446.2</v>
      </c>
      <c r="G19" s="2" t="n">
        <v>23</v>
      </c>
      <c r="H19" s="2" t="n">
        <f aca="false">F19*G19</f>
        <v>10262.6</v>
      </c>
      <c r="I19" s="2" t="n">
        <f aca="false">I18+B19-H19</f>
        <v>-158620.5</v>
      </c>
      <c r="J19" s="3"/>
    </row>
    <row r="20" customFormat="false" ht="17.25" hidden="false" customHeight="false" outlineLevel="0" collapsed="false">
      <c r="A20" s="3"/>
      <c r="B20" s="2"/>
      <c r="C20" s="2"/>
      <c r="D20" s="2" t="s">
        <v>13</v>
      </c>
      <c r="E20" s="2" t="n">
        <v>89</v>
      </c>
      <c r="F20" s="2" t="n">
        <v>3767.4</v>
      </c>
      <c r="G20" s="2" t="n">
        <v>25</v>
      </c>
      <c r="H20" s="2" t="n">
        <f aca="false">F20*G20</f>
        <v>94185</v>
      </c>
      <c r="I20" s="2" t="n">
        <f aca="false">I19+B20-H20</f>
        <v>-252805.5</v>
      </c>
      <c r="J20" s="3"/>
    </row>
    <row r="21" customFormat="false" ht="17.25" hidden="false" customHeight="false" outlineLevel="0" collapsed="false">
      <c r="A21" s="3"/>
      <c r="B21" s="2"/>
      <c r="C21" s="2"/>
      <c r="D21" s="2" t="s">
        <v>12</v>
      </c>
      <c r="E21" s="2" t="n">
        <v>19</v>
      </c>
      <c r="F21" s="2" t="n">
        <v>1176.8</v>
      </c>
      <c r="G21" s="2" t="n">
        <v>28</v>
      </c>
      <c r="H21" s="2" t="n">
        <f aca="false">F21*G21</f>
        <v>32950.4</v>
      </c>
      <c r="I21" s="2" t="n">
        <f aca="false">I20+B21-H21</f>
        <v>-285755.9</v>
      </c>
      <c r="J21" s="3"/>
    </row>
    <row r="22" customFormat="false" ht="17.25" hidden="false" customHeight="false" outlineLevel="0" collapsed="false">
      <c r="A22" s="3" t="s">
        <v>24</v>
      </c>
      <c r="B22" s="2" t="n">
        <v>450000</v>
      </c>
      <c r="C22" s="2"/>
      <c r="D22" s="2"/>
      <c r="E22" s="2"/>
      <c r="F22" s="2"/>
      <c r="G22" s="2"/>
      <c r="H22" s="2"/>
      <c r="I22" s="2" t="n">
        <f aca="false">I21+B22-H22</f>
        <v>164244.1</v>
      </c>
      <c r="J22" s="3"/>
    </row>
    <row r="23" customFormat="false" ht="17.25" hidden="false" customHeight="false" outlineLevel="0" collapsed="false">
      <c r="A23" s="3"/>
      <c r="B23" s="2"/>
      <c r="C23" s="2" t="s">
        <v>24</v>
      </c>
      <c r="D23" s="2" t="n">
        <v>0.5</v>
      </c>
      <c r="E23" s="2" t="n">
        <v>12</v>
      </c>
      <c r="F23" s="2" t="n">
        <v>424.3</v>
      </c>
      <c r="G23" s="2" t="n">
        <v>23</v>
      </c>
      <c r="H23" s="2" t="n">
        <f aca="false">F23*G23</f>
        <v>9758.9</v>
      </c>
      <c r="I23" s="2" t="n">
        <f aca="false">I22+B23-H23</f>
        <v>154485.2</v>
      </c>
      <c r="J23" s="3"/>
    </row>
    <row r="24" customFormat="false" ht="17.25" hidden="false" customHeight="false" outlineLevel="0" collapsed="false">
      <c r="A24" s="3"/>
      <c r="B24" s="2"/>
      <c r="C24" s="2"/>
      <c r="D24" s="2" t="s">
        <v>13</v>
      </c>
      <c r="E24" s="2" t="n">
        <v>45</v>
      </c>
      <c r="F24" s="2" t="n">
        <v>1773.3</v>
      </c>
      <c r="G24" s="2" t="n">
        <v>25</v>
      </c>
      <c r="H24" s="2" t="n">
        <f aca="false">F24*G24</f>
        <v>44332.5</v>
      </c>
      <c r="I24" s="2" t="n">
        <f aca="false">I23+B24-H24</f>
        <v>110152.7</v>
      </c>
      <c r="J24" s="3"/>
    </row>
    <row r="25" customFormat="false" ht="17.25" hidden="false" customHeight="false" outlineLevel="0" collapsed="false">
      <c r="A25" s="3"/>
      <c r="B25" s="2"/>
      <c r="C25" s="2" t="s">
        <v>25</v>
      </c>
      <c r="D25" s="2" t="s">
        <v>13</v>
      </c>
      <c r="E25" s="2" t="n">
        <v>3</v>
      </c>
      <c r="F25" s="2" t="n">
        <v>110.2</v>
      </c>
      <c r="G25" s="2" t="n">
        <v>25</v>
      </c>
      <c r="H25" s="2" t="n">
        <f aca="false">F25*G25</f>
        <v>2755</v>
      </c>
      <c r="I25" s="2" t="n">
        <f aca="false">I24+B25-H25</f>
        <v>107397.7</v>
      </c>
      <c r="J25" s="3"/>
    </row>
    <row r="26" customFormat="false" ht="17.25" hidden="false" customHeight="false" outlineLevel="0" collapsed="false">
      <c r="A26" s="3"/>
      <c r="B26" s="2"/>
      <c r="C26" s="2"/>
      <c r="D26" s="2" t="n">
        <v>0.5</v>
      </c>
      <c r="E26" s="2" t="n">
        <v>12</v>
      </c>
      <c r="F26" s="2" t="n">
        <v>550.9</v>
      </c>
      <c r="G26" s="2" t="n">
        <v>23</v>
      </c>
      <c r="H26" s="2" t="n">
        <f aca="false">F26*G26</f>
        <v>12670.7</v>
      </c>
      <c r="I26" s="2" t="n">
        <f aca="false">I25+B26-H26</f>
        <v>94727</v>
      </c>
      <c r="J26" s="3"/>
    </row>
    <row r="27" customFormat="false" ht="17.25" hidden="false" customHeight="false" outlineLevel="0" collapsed="false">
      <c r="A27" s="3"/>
      <c r="B27" s="2"/>
      <c r="C27" s="2"/>
      <c r="D27" s="2"/>
      <c r="E27" s="2"/>
      <c r="F27" s="2"/>
      <c r="G27" s="2"/>
      <c r="H27" s="2"/>
      <c r="I27" s="2"/>
      <c r="J27" s="3"/>
    </row>
    <row r="28" customFormat="false" ht="17.25" hidden="false" customHeight="false" outlineLevel="0" collapsed="false">
      <c r="A28" s="3"/>
      <c r="B28" s="2"/>
      <c r="C28" s="2"/>
      <c r="D28" s="2"/>
      <c r="E28" s="2"/>
      <c r="F28" s="2"/>
      <c r="G28" s="2"/>
      <c r="H28" s="2"/>
      <c r="I28" s="2"/>
      <c r="J28" s="3"/>
    </row>
    <row r="29" customFormat="false" ht="17.25" hidden="false" customHeight="false" outlineLevel="0" collapsed="false">
      <c r="A29" s="3"/>
      <c r="B29" s="2"/>
      <c r="C29" s="2"/>
      <c r="D29" s="2"/>
      <c r="E29" s="2"/>
      <c r="F29" s="2"/>
      <c r="G29" s="2"/>
      <c r="H29" s="2"/>
      <c r="I29" s="2"/>
      <c r="J29" s="3"/>
    </row>
    <row r="30" customFormat="false" ht="17.25" hidden="false" customHeight="false" outlineLevel="0" collapsed="false">
      <c r="A30" s="3"/>
      <c r="B30" s="2"/>
      <c r="C30" s="2"/>
      <c r="D30" s="2"/>
      <c r="E30" s="2"/>
      <c r="F30" s="2"/>
      <c r="G30" s="2"/>
      <c r="H30" s="2"/>
      <c r="I30" s="2"/>
      <c r="J30" s="3"/>
    </row>
    <row r="31" customFormat="false" ht="17.25" hidden="false" customHeight="false" outlineLevel="0" collapsed="false">
      <c r="A31" s="3"/>
      <c r="B31" s="2"/>
      <c r="C31" s="2"/>
      <c r="D31" s="2"/>
      <c r="E31" s="2"/>
      <c r="F31" s="2"/>
      <c r="G31" s="2"/>
      <c r="H31" s="2"/>
      <c r="I31" s="2"/>
      <c r="J31" s="3"/>
    </row>
    <row r="32" customFormat="false" ht="17.25" hidden="false" customHeight="false" outlineLevel="0" collapsed="false">
      <c r="A32" s="3"/>
      <c r="B32" s="2"/>
      <c r="C32" s="2"/>
      <c r="D32" s="2"/>
      <c r="E32" s="2"/>
      <c r="F32" s="2"/>
      <c r="G32" s="2"/>
      <c r="H32" s="2"/>
      <c r="I32" s="2"/>
      <c r="J32" s="3"/>
    </row>
    <row r="33" customFormat="false" ht="17.25" hidden="false" customHeight="false" outlineLevel="0" collapsed="false">
      <c r="A33" s="3"/>
      <c r="B33" s="2"/>
      <c r="C33" s="2"/>
      <c r="D33" s="2"/>
      <c r="E33" s="2"/>
      <c r="F33" s="2"/>
      <c r="G33" s="2"/>
      <c r="H33" s="2"/>
      <c r="I33" s="2"/>
      <c r="J33" s="3"/>
    </row>
    <row r="34" customFormat="false" ht="17.25" hidden="false" customHeight="false" outlineLevel="0" collapsed="false">
      <c r="A34" s="3"/>
      <c r="B34" s="2" t="n">
        <f aca="false">SUM(B3:B33)</f>
        <v>550000</v>
      </c>
      <c r="C34" s="2"/>
      <c r="D34" s="2"/>
      <c r="E34" s="2"/>
      <c r="F34" s="2" t="n">
        <f aca="false">SUM(F3:F33)</f>
        <v>18017.3</v>
      </c>
      <c r="G34" s="2"/>
      <c r="H34" s="2" t="n">
        <f aca="false">SUM(H3:H33)</f>
        <v>455273</v>
      </c>
      <c r="I34" s="2"/>
      <c r="J34" s="3"/>
      <c r="K34" s="1" t="n">
        <v>550000</v>
      </c>
    </row>
    <row r="35" customFormat="false" ht="13.5" hidden="false" customHeight="false" outlineLevel="0" collapsed="false">
      <c r="B35" s="6"/>
      <c r="C35" s="6"/>
      <c r="D35" s="6"/>
      <c r="E35" s="6"/>
      <c r="F35" s="6"/>
      <c r="G35" s="6"/>
      <c r="H35" s="6"/>
      <c r="I35" s="6"/>
    </row>
    <row r="36" customFormat="false" ht="13.5" hidden="false" customHeight="false" outlineLevel="0" collapsed="false">
      <c r="B36" s="6"/>
      <c r="C36" s="6"/>
      <c r="D36" s="6"/>
      <c r="E36" s="6"/>
      <c r="F36" s="6"/>
      <c r="G36" s="6"/>
      <c r="H36" s="6"/>
      <c r="I36" s="6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8" activeCellId="0" sqref="B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3.77"/>
    <col collapsed="false" customWidth="true" hidden="false" outlineLevel="0" max="2" min="2" style="1" width="13.13"/>
    <col collapsed="false" customWidth="true" hidden="false" outlineLevel="0" max="3" min="3" style="1" width="13.63"/>
    <col collapsed="false" customWidth="true" hidden="false" outlineLevel="0" max="6" min="6" style="1" width="10.37"/>
    <col collapsed="false" customWidth="true" hidden="false" outlineLevel="0" max="8" min="8" style="1" width="11.76"/>
    <col collapsed="false" customWidth="true" hidden="false" outlineLevel="0" max="9" min="9" style="1" width="13.13"/>
    <col collapsed="false" customWidth="true" hidden="false" outlineLevel="0" max="10" min="10" style="1" width="14.13"/>
  </cols>
  <sheetData>
    <row r="1" customFormat="false" ht="17.25" hidden="false" customHeight="fals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customFormat="false" ht="17.25" hidden="false" customHeight="false" outlineLevel="0" collapsed="false">
      <c r="A2" s="3" t="s">
        <v>11</v>
      </c>
      <c r="B2" s="4" t="n">
        <v>50000</v>
      </c>
      <c r="C2" s="2"/>
      <c r="D2" s="2"/>
      <c r="E2" s="2"/>
      <c r="F2" s="2"/>
      <c r="G2" s="2"/>
      <c r="H2" s="2"/>
      <c r="I2" s="2" t="n">
        <v>50000</v>
      </c>
      <c r="J2" s="3"/>
    </row>
    <row r="3" customFormat="false" ht="17.25" hidden="false" customHeight="false" outlineLevel="0" collapsed="false">
      <c r="A3" s="3"/>
      <c r="B3" s="4"/>
      <c r="C3" s="2" t="s">
        <v>11</v>
      </c>
      <c r="D3" s="2" t="s">
        <v>12</v>
      </c>
      <c r="E3" s="2" t="n">
        <v>12</v>
      </c>
      <c r="F3" s="2" t="n">
        <v>457</v>
      </c>
      <c r="G3" s="2" t="n">
        <v>28</v>
      </c>
      <c r="H3" s="2" t="n">
        <f aca="false">F3*G3</f>
        <v>12796</v>
      </c>
      <c r="I3" s="2" t="n">
        <f aca="false">I2-H3</f>
        <v>37204</v>
      </c>
      <c r="J3" s="3"/>
    </row>
    <row r="4" customFormat="false" ht="17.25" hidden="false" customHeight="false" outlineLevel="0" collapsed="false">
      <c r="A4" s="3"/>
      <c r="B4" s="4"/>
      <c r="C4" s="2"/>
      <c r="D4" s="2" t="n">
        <v>0.5</v>
      </c>
      <c r="E4" s="2" t="n">
        <v>12</v>
      </c>
      <c r="F4" s="2" t="n">
        <v>420.4</v>
      </c>
      <c r="G4" s="2" t="n">
        <v>23</v>
      </c>
      <c r="H4" s="2" t="n">
        <f aca="false">F4*G4</f>
        <v>9669.2</v>
      </c>
      <c r="I4" s="2" t="n">
        <f aca="false">I3-H4</f>
        <v>27534.8</v>
      </c>
      <c r="J4" s="3"/>
    </row>
    <row r="5" customFormat="false" ht="17.25" hidden="false" customHeight="false" outlineLevel="0" collapsed="false">
      <c r="A5" s="3"/>
      <c r="B5" s="4"/>
      <c r="C5" s="2"/>
      <c r="D5" s="2" t="s">
        <v>13</v>
      </c>
      <c r="E5" s="2" t="n">
        <v>12</v>
      </c>
      <c r="F5" s="2" t="n">
        <v>423.5</v>
      </c>
      <c r="G5" s="2" t="n">
        <v>25</v>
      </c>
      <c r="H5" s="2" t="n">
        <f aca="false">F5*G5</f>
        <v>10587.5</v>
      </c>
      <c r="I5" s="2" t="n">
        <f aca="false">I4-H5</f>
        <v>16947.3</v>
      </c>
      <c r="J5" s="3"/>
    </row>
    <row r="6" customFormat="false" ht="17.25" hidden="false" customHeight="false" outlineLevel="0" collapsed="false">
      <c r="A6" s="3" t="s">
        <v>14</v>
      </c>
      <c r="B6" s="4" t="n">
        <v>50000</v>
      </c>
      <c r="C6" s="2" t="s">
        <v>14</v>
      </c>
      <c r="D6" s="2" t="s">
        <v>12</v>
      </c>
      <c r="E6" s="2" t="n">
        <v>24</v>
      </c>
      <c r="F6" s="2" t="n">
        <v>966.5</v>
      </c>
      <c r="G6" s="2" t="n">
        <v>28</v>
      </c>
      <c r="H6" s="2" t="n">
        <f aca="false">F6*G6</f>
        <v>27062</v>
      </c>
      <c r="I6" s="2" t="n">
        <f aca="false">I5+B6-H6</f>
        <v>39885.3</v>
      </c>
      <c r="J6" s="3"/>
    </row>
    <row r="7" customFormat="false" ht="17.25" hidden="false" customHeight="false" outlineLevel="0" collapsed="false">
      <c r="A7" s="3" t="s">
        <v>15</v>
      </c>
      <c r="B7" s="4" t="n">
        <v>50000</v>
      </c>
      <c r="C7" s="2"/>
      <c r="D7" s="2" t="n">
        <v>0.5</v>
      </c>
      <c r="E7" s="2" t="n">
        <v>18</v>
      </c>
      <c r="F7" s="2" t="n">
        <v>676.7</v>
      </c>
      <c r="G7" s="2" t="n">
        <v>23</v>
      </c>
      <c r="H7" s="2" t="n">
        <f aca="false">F7*G7</f>
        <v>15564.1</v>
      </c>
      <c r="I7" s="2" t="n">
        <f aca="false">I6+B7-H7</f>
        <v>74321.2</v>
      </c>
      <c r="J7" s="3"/>
    </row>
    <row r="8" customFormat="false" ht="17.25" hidden="false" customHeight="false" outlineLevel="0" collapsed="false">
      <c r="A8" s="3"/>
      <c r="B8" s="4"/>
      <c r="C8" s="2"/>
      <c r="D8" s="2" t="s">
        <v>13</v>
      </c>
      <c r="E8" s="2" t="n">
        <v>16</v>
      </c>
      <c r="F8" s="2" t="n">
        <v>645.2</v>
      </c>
      <c r="G8" s="2" t="n">
        <v>25</v>
      </c>
      <c r="H8" s="2" t="n">
        <f aca="false">F8*G8</f>
        <v>16130</v>
      </c>
      <c r="I8" s="2" t="n">
        <f aca="false">I7+B8-H8</f>
        <v>58191.2</v>
      </c>
      <c r="J8" s="3"/>
    </row>
    <row r="9" customFormat="false" ht="17.25" hidden="false" customHeight="false" outlineLevel="0" collapsed="false">
      <c r="A9" s="3"/>
      <c r="B9" s="4"/>
      <c r="C9" s="2" t="s">
        <v>15</v>
      </c>
      <c r="D9" s="2" t="s">
        <v>12</v>
      </c>
      <c r="E9" s="2" t="n">
        <v>11</v>
      </c>
      <c r="F9" s="2" t="n">
        <v>470.1</v>
      </c>
      <c r="G9" s="2" t="n">
        <v>28</v>
      </c>
      <c r="H9" s="2" t="n">
        <f aca="false">F9*G9</f>
        <v>13162.8</v>
      </c>
      <c r="I9" s="2" t="n">
        <f aca="false">I8+B9-H9</f>
        <v>45028.4</v>
      </c>
      <c r="J9" s="3"/>
    </row>
    <row r="10" customFormat="false" ht="17.25" hidden="false" customHeight="false" outlineLevel="0" collapsed="false">
      <c r="A10" s="3"/>
      <c r="B10" s="4"/>
      <c r="C10" s="2"/>
      <c r="D10" s="2" t="s">
        <v>13</v>
      </c>
      <c r="E10" s="2" t="n">
        <v>12</v>
      </c>
      <c r="F10" s="2" t="n">
        <v>500.1</v>
      </c>
      <c r="G10" s="2" t="n">
        <v>25</v>
      </c>
      <c r="H10" s="2" t="n">
        <f aca="false">F10*G10</f>
        <v>12502.5</v>
      </c>
      <c r="I10" s="2" t="n">
        <f aca="false">I9+B10-H10</f>
        <v>32525.9</v>
      </c>
      <c r="J10" s="3"/>
    </row>
    <row r="11" customFormat="false" ht="17.25" hidden="false" customHeight="false" outlineLevel="0" collapsed="false">
      <c r="A11" s="3"/>
      <c r="B11" s="4"/>
      <c r="C11" s="2"/>
      <c r="D11" s="2" t="n">
        <v>0.5</v>
      </c>
      <c r="E11" s="2" t="n">
        <v>12</v>
      </c>
      <c r="F11" s="2" t="n">
        <v>497.2</v>
      </c>
      <c r="G11" s="2" t="n">
        <v>23</v>
      </c>
      <c r="H11" s="2" t="n">
        <f aca="false">F11*G11</f>
        <v>11435.6</v>
      </c>
      <c r="I11" s="2" t="n">
        <f aca="false">I10+B11-H11</f>
        <v>21090.3</v>
      </c>
      <c r="J11" s="3"/>
      <c r="K11" s="5" t="s">
        <v>16</v>
      </c>
    </row>
    <row r="12" customFormat="false" ht="17.25" hidden="false" customHeight="false" outlineLevel="0" collapsed="false">
      <c r="A12" s="3"/>
      <c r="B12" s="4"/>
      <c r="C12" s="2" t="s">
        <v>17</v>
      </c>
      <c r="D12" s="2" t="s">
        <v>13</v>
      </c>
      <c r="E12" s="2" t="n">
        <v>2</v>
      </c>
      <c r="F12" s="2" t="n">
        <v>75.8</v>
      </c>
      <c r="G12" s="2" t="n">
        <v>25</v>
      </c>
      <c r="H12" s="2" t="n">
        <f aca="false">F12*G12</f>
        <v>1895</v>
      </c>
      <c r="I12" s="2" t="n">
        <f aca="false">I11+B12-H12</f>
        <v>19195.3</v>
      </c>
      <c r="J12" s="3"/>
    </row>
    <row r="13" customFormat="false" ht="17.25" hidden="false" customHeight="false" outlineLevel="0" collapsed="false">
      <c r="A13" s="3" t="s">
        <v>18</v>
      </c>
      <c r="B13" s="4" t="n">
        <v>50000</v>
      </c>
      <c r="C13" s="2" t="s">
        <v>19</v>
      </c>
      <c r="D13" s="2" t="n">
        <v>0.5</v>
      </c>
      <c r="E13" s="2" t="n">
        <v>3</v>
      </c>
      <c r="F13" s="2" t="n">
        <v>105</v>
      </c>
      <c r="G13" s="2" t="n">
        <v>23</v>
      </c>
      <c r="H13" s="2" t="n">
        <f aca="false">F13*G13</f>
        <v>2415</v>
      </c>
      <c r="I13" s="2" t="n">
        <f aca="false">I12+B13-H13</f>
        <v>66780.3</v>
      </c>
      <c r="J13" s="3"/>
    </row>
    <row r="14" customFormat="false" ht="17.25" hidden="false" customHeight="false" outlineLevel="0" collapsed="false">
      <c r="A14" s="3"/>
      <c r="B14" s="4"/>
      <c r="C14" s="2"/>
      <c r="D14" s="2" t="s">
        <v>13</v>
      </c>
      <c r="E14" s="2" t="n">
        <v>18</v>
      </c>
      <c r="F14" s="2" t="n">
        <v>630.2</v>
      </c>
      <c r="G14" s="2" t="n">
        <v>25</v>
      </c>
      <c r="H14" s="2" t="n">
        <f aca="false">F14*G14</f>
        <v>15755</v>
      </c>
      <c r="I14" s="2" t="n">
        <f aca="false">I13+B14-H14</f>
        <v>51025.3</v>
      </c>
      <c r="J14" s="3"/>
    </row>
    <row r="15" customFormat="false" ht="17.25" hidden="false" customHeight="false" outlineLevel="0" collapsed="false">
      <c r="A15" s="3" t="s">
        <v>20</v>
      </c>
      <c r="B15" s="4" t="n">
        <v>100000</v>
      </c>
      <c r="C15" s="2" t="s">
        <v>20</v>
      </c>
      <c r="D15" s="2" t="s">
        <v>12</v>
      </c>
      <c r="E15" s="2" t="n">
        <v>14</v>
      </c>
      <c r="F15" s="2" t="n">
        <v>834.9</v>
      </c>
      <c r="G15" s="2" t="n">
        <v>28</v>
      </c>
      <c r="H15" s="2" t="n">
        <f aca="false">F15*G15</f>
        <v>23377.2</v>
      </c>
      <c r="I15" s="2" t="n">
        <f aca="false">I14+B15-H15</f>
        <v>127648.1</v>
      </c>
      <c r="J15" s="3"/>
      <c r="K15" s="1" t="s">
        <v>21</v>
      </c>
    </row>
    <row r="16" customFormat="false" ht="17.25" hidden="false" customHeight="false" outlineLevel="0" collapsed="false">
      <c r="A16" s="3" t="s">
        <v>22</v>
      </c>
      <c r="B16" s="2" t="n">
        <v>100000</v>
      </c>
      <c r="C16" s="2"/>
      <c r="D16" s="2" t="n">
        <v>0.5</v>
      </c>
      <c r="E16" s="2" t="n">
        <v>6</v>
      </c>
      <c r="F16" s="2" t="n">
        <v>317</v>
      </c>
      <c r="G16" s="2" t="n">
        <v>23</v>
      </c>
      <c r="H16" s="2" t="n">
        <f aca="false">F16*G16</f>
        <v>7291</v>
      </c>
      <c r="I16" s="2" t="n">
        <f aca="false">I15+B16-H16</f>
        <v>220357.1</v>
      </c>
      <c r="J16" s="3"/>
    </row>
    <row r="17" customFormat="false" ht="17.25" hidden="false" customHeight="false" outlineLevel="0" collapsed="false">
      <c r="A17" s="3"/>
      <c r="B17" s="2"/>
      <c r="C17" s="2"/>
      <c r="D17" s="2" t="s">
        <v>13</v>
      </c>
      <c r="E17" s="2" t="n">
        <v>72</v>
      </c>
      <c r="F17" s="2" t="n">
        <v>2748.6</v>
      </c>
      <c r="G17" s="2" t="n">
        <v>25</v>
      </c>
      <c r="H17" s="2" t="n">
        <f aca="false">F17*G17</f>
        <v>68715</v>
      </c>
      <c r="I17" s="2" t="n">
        <f aca="false">I16+B17-H17</f>
        <v>151642.1</v>
      </c>
      <c r="J17" s="3"/>
      <c r="K17" s="1" t="s">
        <v>23</v>
      </c>
    </row>
    <row r="18" customFormat="false" ht="17.25" hidden="false" customHeight="false" outlineLevel="0" collapsed="false">
      <c r="A18" s="3"/>
      <c r="B18" s="2"/>
      <c r="C18" s="2" t="s">
        <v>22</v>
      </c>
      <c r="D18" s="2" t="n">
        <v>0.5</v>
      </c>
      <c r="E18" s="2" t="n">
        <v>7</v>
      </c>
      <c r="F18" s="2" t="n">
        <v>446.2</v>
      </c>
      <c r="G18" s="2" t="n">
        <v>23</v>
      </c>
      <c r="H18" s="2" t="n">
        <f aca="false">F18*G18</f>
        <v>10262.6</v>
      </c>
      <c r="I18" s="2" t="n">
        <f aca="false">I17+B18-H18</f>
        <v>141379.5</v>
      </c>
      <c r="J18" s="3"/>
    </row>
    <row r="19" customFormat="false" ht="17.25" hidden="false" customHeight="false" outlineLevel="0" collapsed="false">
      <c r="A19" s="3"/>
      <c r="B19" s="2"/>
      <c r="C19" s="2"/>
      <c r="D19" s="2" t="s">
        <v>13</v>
      </c>
      <c r="E19" s="2" t="n">
        <v>89</v>
      </c>
      <c r="F19" s="2" t="n">
        <v>3767.4</v>
      </c>
      <c r="G19" s="2" t="n">
        <v>25</v>
      </c>
      <c r="H19" s="2" t="n">
        <f aca="false">F19*G19</f>
        <v>94185</v>
      </c>
      <c r="I19" s="2" t="n">
        <f aca="false">I18+B19-H19</f>
        <v>47194.5</v>
      </c>
      <c r="J19" s="3"/>
    </row>
    <row r="20" customFormat="false" ht="17.25" hidden="false" customHeight="false" outlineLevel="0" collapsed="false">
      <c r="A20" s="3"/>
      <c r="B20" s="2"/>
      <c r="C20" s="2"/>
      <c r="D20" s="2" t="s">
        <v>12</v>
      </c>
      <c r="E20" s="2" t="n">
        <v>19</v>
      </c>
      <c r="F20" s="2" t="n">
        <v>1176.8</v>
      </c>
      <c r="G20" s="2" t="n">
        <v>28</v>
      </c>
      <c r="H20" s="2" t="n">
        <f aca="false">F20*G20</f>
        <v>32950.4</v>
      </c>
      <c r="I20" s="2" t="n">
        <f aca="false">I19+B20-H20</f>
        <v>14244.1</v>
      </c>
      <c r="J20" s="3"/>
    </row>
    <row r="21" customFormat="false" ht="17.25" hidden="false" customHeight="false" outlineLevel="0" collapsed="false">
      <c r="A21" s="3" t="s">
        <v>24</v>
      </c>
      <c r="B21" s="2" t="n">
        <v>450000</v>
      </c>
      <c r="C21" s="2"/>
      <c r="D21" s="2"/>
      <c r="E21" s="2"/>
      <c r="F21" s="2"/>
      <c r="G21" s="2"/>
      <c r="H21" s="2"/>
      <c r="I21" s="2" t="n">
        <f aca="false">I20+B21-H21</f>
        <v>464244.1</v>
      </c>
      <c r="J21" s="3"/>
    </row>
    <row r="22" customFormat="false" ht="17.25" hidden="false" customHeight="false" outlineLevel="0" collapsed="false">
      <c r="A22" s="3"/>
      <c r="B22" s="2"/>
      <c r="C22" s="2" t="s">
        <v>24</v>
      </c>
      <c r="D22" s="2"/>
      <c r="E22" s="2"/>
      <c r="F22" s="2"/>
      <c r="G22" s="2"/>
      <c r="H22" s="2" t="n">
        <v>200000</v>
      </c>
      <c r="I22" s="2" t="n">
        <f aca="false">I21+B22-H22</f>
        <v>264244.1</v>
      </c>
      <c r="J22" s="3" t="s">
        <v>26</v>
      </c>
      <c r="K22" s="1" t="s">
        <v>27</v>
      </c>
    </row>
    <row r="23" customFormat="false" ht="17.25" hidden="false" customHeight="false" outlineLevel="0" collapsed="false">
      <c r="A23" s="3"/>
      <c r="B23" s="2"/>
      <c r="C23" s="2" t="s">
        <v>25</v>
      </c>
      <c r="D23" s="2"/>
      <c r="E23" s="2"/>
      <c r="F23" s="2"/>
      <c r="G23" s="2"/>
      <c r="H23" s="2" t="n">
        <v>100000</v>
      </c>
      <c r="I23" s="2" t="n">
        <f aca="false">I22+B23-H23</f>
        <v>164244.1</v>
      </c>
      <c r="J23" s="3" t="s">
        <v>26</v>
      </c>
    </row>
    <row r="24" customFormat="false" ht="17.25" hidden="false" customHeight="false" outlineLevel="0" collapsed="false">
      <c r="A24" s="3"/>
      <c r="B24" s="2"/>
      <c r="C24" s="2" t="s">
        <v>24</v>
      </c>
      <c r="D24" s="2" t="n">
        <v>0.5</v>
      </c>
      <c r="E24" s="2" t="n">
        <v>12</v>
      </c>
      <c r="F24" s="2" t="n">
        <v>424.3</v>
      </c>
      <c r="G24" s="2" t="n">
        <v>23</v>
      </c>
      <c r="H24" s="2" t="n">
        <f aca="false">F24*G24</f>
        <v>9758.9</v>
      </c>
      <c r="I24" s="2" t="n">
        <f aca="false">I23+B24-H24</f>
        <v>154485.2</v>
      </c>
      <c r="J24" s="3"/>
    </row>
    <row r="25" customFormat="false" ht="17.25" hidden="false" customHeight="false" outlineLevel="0" collapsed="false">
      <c r="A25" s="3"/>
      <c r="B25" s="2"/>
      <c r="C25" s="2"/>
      <c r="D25" s="2" t="s">
        <v>13</v>
      </c>
      <c r="E25" s="2" t="n">
        <v>45</v>
      </c>
      <c r="F25" s="2" t="n">
        <v>1773.3</v>
      </c>
      <c r="G25" s="2" t="n">
        <v>25</v>
      </c>
      <c r="H25" s="2" t="n">
        <f aca="false">F25*G25</f>
        <v>44332.5</v>
      </c>
      <c r="I25" s="2" t="n">
        <f aca="false">I24+B25-H25</f>
        <v>110152.7</v>
      </c>
      <c r="J25" s="3"/>
    </row>
    <row r="26" customFormat="false" ht="17.25" hidden="false" customHeight="false" outlineLevel="0" collapsed="false">
      <c r="A26" s="3"/>
      <c r="B26" s="2"/>
      <c r="C26" s="2" t="s">
        <v>25</v>
      </c>
      <c r="D26" s="2" t="s">
        <v>13</v>
      </c>
      <c r="E26" s="2" t="n">
        <v>3</v>
      </c>
      <c r="F26" s="2" t="n">
        <v>110.2</v>
      </c>
      <c r="G26" s="2" t="n">
        <v>25</v>
      </c>
      <c r="H26" s="2" t="n">
        <f aca="false">F26*G26</f>
        <v>2755</v>
      </c>
      <c r="I26" s="2" t="n">
        <f aca="false">I25+B26-H26</f>
        <v>107397.7</v>
      </c>
      <c r="J26" s="3"/>
    </row>
    <row r="27" customFormat="false" ht="17.25" hidden="false" customHeight="false" outlineLevel="0" collapsed="false">
      <c r="A27" s="3"/>
      <c r="B27" s="2"/>
      <c r="C27" s="2"/>
      <c r="D27" s="2" t="n">
        <v>0.5</v>
      </c>
      <c r="E27" s="2" t="n">
        <v>12</v>
      </c>
      <c r="F27" s="2" t="n">
        <v>550.9</v>
      </c>
      <c r="G27" s="2" t="n">
        <v>23</v>
      </c>
      <c r="H27" s="2" t="n">
        <f aca="false">F27*G27</f>
        <v>12670.7</v>
      </c>
      <c r="I27" s="2" t="n">
        <f aca="false">I26+B27-H27</f>
        <v>94727</v>
      </c>
      <c r="J27" s="3"/>
    </row>
    <row r="28" customFormat="false" ht="17.25" hidden="false" customHeight="false" outlineLevel="0" collapsed="false">
      <c r="A28" s="3"/>
      <c r="B28" s="2"/>
      <c r="C28" s="2" t="s">
        <v>28</v>
      </c>
      <c r="D28" s="2" t="s">
        <v>13</v>
      </c>
      <c r="E28" s="2" t="n">
        <v>13</v>
      </c>
      <c r="F28" s="2" t="n">
        <v>468.9</v>
      </c>
      <c r="G28" s="2" t="n">
        <v>25</v>
      </c>
      <c r="H28" s="2" t="n">
        <f aca="false">F28*G28</f>
        <v>11722.5</v>
      </c>
      <c r="I28" s="2" t="n">
        <f aca="false">I27+B28-H28</f>
        <v>83004.5</v>
      </c>
      <c r="J28" s="3"/>
    </row>
    <row r="29" customFormat="false" ht="17.25" hidden="false" customHeight="false" outlineLevel="0" collapsed="false">
      <c r="A29" s="3"/>
      <c r="B29" s="2"/>
      <c r="C29" s="2" t="s">
        <v>29</v>
      </c>
      <c r="D29" s="2" t="s">
        <v>13</v>
      </c>
      <c r="E29" s="2" t="n">
        <v>6</v>
      </c>
      <c r="F29" s="2" t="n">
        <v>223.4</v>
      </c>
      <c r="G29" s="2" t="n">
        <v>25</v>
      </c>
      <c r="H29" s="2" t="n">
        <f aca="false">F29*G29</f>
        <v>5585</v>
      </c>
      <c r="I29" s="2" t="n">
        <f aca="false">I28+B29-H29</f>
        <v>77419.5</v>
      </c>
      <c r="J29" s="3"/>
    </row>
    <row r="30" customFormat="false" ht="17.25" hidden="false" customHeight="false" outlineLevel="0" collapsed="false">
      <c r="A30" s="3"/>
      <c r="B30" s="2"/>
      <c r="C30" s="2" t="s">
        <v>30</v>
      </c>
      <c r="D30" s="2" t="s">
        <v>13</v>
      </c>
      <c r="E30" s="2" t="n">
        <v>4</v>
      </c>
      <c r="F30" s="2" t="n">
        <v>269.9</v>
      </c>
      <c r="G30" s="2" t="n">
        <v>25</v>
      </c>
      <c r="H30" s="2" t="n">
        <f aca="false">F30*G30</f>
        <v>6747.5</v>
      </c>
      <c r="I30" s="2" t="n">
        <f aca="false">I29+B30-H30</f>
        <v>70672</v>
      </c>
      <c r="J30" s="3"/>
    </row>
    <row r="31" customFormat="false" ht="17.25" hidden="false" customHeight="false" outlineLevel="0" collapsed="false">
      <c r="A31" s="3"/>
      <c r="B31" s="2"/>
      <c r="C31" s="2" t="s">
        <v>31</v>
      </c>
      <c r="D31" s="2" t="s">
        <v>13</v>
      </c>
      <c r="E31" s="2" t="n">
        <v>6</v>
      </c>
      <c r="F31" s="2" t="n">
        <v>415.5</v>
      </c>
      <c r="G31" s="2" t="n">
        <v>25</v>
      </c>
      <c r="H31" s="2" t="n">
        <f aca="false">F31*G31</f>
        <v>10387.5</v>
      </c>
      <c r="I31" s="2" t="n">
        <f aca="false">I30+B31-H31</f>
        <v>60284.5</v>
      </c>
      <c r="J31" s="3"/>
    </row>
    <row r="32" customFormat="false" ht="17.25" hidden="false" customHeight="false" outlineLevel="0" collapsed="false">
      <c r="A32" s="3"/>
      <c r="B32" s="2"/>
      <c r="C32" s="2" t="s">
        <v>32</v>
      </c>
      <c r="D32" s="2" t="s">
        <v>13</v>
      </c>
      <c r="E32" s="2" t="n">
        <v>16</v>
      </c>
      <c r="F32" s="2" t="n">
        <v>1119.5</v>
      </c>
      <c r="G32" s="2" t="n">
        <v>25</v>
      </c>
      <c r="H32" s="2" t="n">
        <f aca="false">F32*G32</f>
        <v>27987.5</v>
      </c>
      <c r="I32" s="2" t="n">
        <f aca="false">I31+B32-H32</f>
        <v>32297</v>
      </c>
      <c r="J32" s="3"/>
    </row>
    <row r="33" customFormat="false" ht="17.25" hidden="false" customHeight="false" outlineLevel="0" collapsed="false">
      <c r="A33" s="3"/>
      <c r="B33" s="2"/>
      <c r="C33" s="2" t="s">
        <v>33</v>
      </c>
      <c r="D33" s="2" t="s">
        <v>13</v>
      </c>
      <c r="E33" s="2" t="n">
        <v>13</v>
      </c>
      <c r="F33" s="2" t="n">
        <v>915</v>
      </c>
      <c r="G33" s="2" t="n">
        <v>25</v>
      </c>
      <c r="H33" s="2" t="n">
        <f aca="false">F33*G33</f>
        <v>22875</v>
      </c>
      <c r="I33" s="2" t="n">
        <f aca="false">I32+B33-H33</f>
        <v>9421.99999999999</v>
      </c>
      <c r="J33" s="3"/>
    </row>
    <row r="34" customFormat="false" ht="17.25" hidden="false" customHeight="false" outlineLevel="0" collapsed="false">
      <c r="A34" s="3" t="s">
        <v>34</v>
      </c>
      <c r="B34" s="2" t="n">
        <v>200000</v>
      </c>
      <c r="C34" s="2" t="s">
        <v>34</v>
      </c>
      <c r="D34" s="2" t="s">
        <v>13</v>
      </c>
      <c r="E34" s="2" t="n">
        <v>15</v>
      </c>
      <c r="F34" s="2" t="n">
        <v>1061</v>
      </c>
      <c r="G34" s="2" t="n">
        <v>25</v>
      </c>
      <c r="H34" s="2" t="n">
        <f aca="false">F34*G34</f>
        <v>26525</v>
      </c>
      <c r="I34" s="2" t="n">
        <f aca="false">I33+B34-H34</f>
        <v>182897</v>
      </c>
      <c r="J34" s="3"/>
    </row>
    <row r="35" customFormat="false" ht="17.25" hidden="false" customHeight="false" outlineLevel="0" collapsed="false">
      <c r="A35" s="3"/>
      <c r="B35" s="2"/>
      <c r="C35" s="2" t="s">
        <v>35</v>
      </c>
      <c r="D35" s="2" t="s">
        <v>13</v>
      </c>
      <c r="E35" s="2" t="n">
        <v>9</v>
      </c>
      <c r="F35" s="2" t="n">
        <v>640.5</v>
      </c>
      <c r="G35" s="2" t="n">
        <v>25</v>
      </c>
      <c r="H35" s="2" t="n">
        <f aca="false">F35*G35</f>
        <v>16012.5</v>
      </c>
      <c r="I35" s="2" t="n">
        <f aca="false">I34+B35-H35</f>
        <v>166884.5</v>
      </c>
      <c r="J35" s="3"/>
    </row>
    <row r="36" customFormat="false" ht="17.25" hidden="false" customHeight="false" outlineLevel="0" collapsed="false">
      <c r="C36" s="2"/>
      <c r="D36" s="2"/>
      <c r="E36" s="2"/>
      <c r="F36" s="2"/>
      <c r="G36" s="2"/>
      <c r="H36" s="2"/>
      <c r="I36" s="2"/>
      <c r="J36" s="3"/>
    </row>
    <row r="37" customFormat="false" ht="17.25" hidden="false" customHeight="false" outlineLevel="0" collapsed="false">
      <c r="A37" s="3"/>
      <c r="B37" s="2" t="n">
        <f aca="false">SUM(B2:B35)</f>
        <v>1050000</v>
      </c>
      <c r="C37" s="2"/>
      <c r="D37" s="2"/>
      <c r="E37" s="2"/>
      <c r="F37" s="2" t="n">
        <f aca="false">SUM(F2:F36)</f>
        <v>23131</v>
      </c>
      <c r="G37" s="2"/>
      <c r="H37" s="2" t="n">
        <f aca="false">SUM(H2:H36)</f>
        <v>883115.5</v>
      </c>
      <c r="I37" s="2"/>
      <c r="J37" s="3"/>
      <c r="K37" s="1" t="n">
        <v>550000</v>
      </c>
    </row>
    <row r="38" customFormat="false" ht="13.5" hidden="false" customHeight="false" outlineLevel="0" collapsed="false">
      <c r="B38" s="6"/>
      <c r="C38" s="6"/>
      <c r="D38" s="6"/>
      <c r="E38" s="6"/>
      <c r="F38" s="6"/>
      <c r="G38" s="6"/>
      <c r="H38" s="6"/>
      <c r="I38" s="6"/>
    </row>
    <row r="39" customFormat="false" ht="13.5" hidden="false" customHeight="false" outlineLevel="0" collapsed="false">
      <c r="B39" s="6"/>
      <c r="C39" s="6"/>
      <c r="D39" s="6"/>
      <c r="E39" s="6"/>
      <c r="F39" s="6"/>
      <c r="G39" s="6"/>
      <c r="H39" s="6" t="n">
        <v>300000</v>
      </c>
      <c r="I39" s="6"/>
    </row>
    <row r="41" customFormat="false" ht="13.5" hidden="false" customHeight="false" outlineLevel="0" collapsed="false">
      <c r="H41" s="1" t="n">
        <f aca="false">H37-H39</f>
        <v>583115.5</v>
      </c>
      <c r="I41" s="1" t="n">
        <f aca="false">B37-H39-H41</f>
        <v>166884.5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" activeCellId="0" sqref="B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3.77"/>
    <col collapsed="false" customWidth="true" hidden="false" outlineLevel="0" max="2" min="2" style="1" width="13.13"/>
    <col collapsed="false" customWidth="true" hidden="false" outlineLevel="0" max="3" min="3" style="1" width="13.63"/>
    <col collapsed="false" customWidth="true" hidden="false" outlineLevel="0" max="6" min="6" style="1" width="10.37"/>
    <col collapsed="false" customWidth="true" hidden="false" outlineLevel="0" max="8" min="8" style="1" width="11.76"/>
    <col collapsed="false" customWidth="true" hidden="false" outlineLevel="0" max="9" min="9" style="1" width="13.13"/>
    <col collapsed="false" customWidth="true" hidden="false" outlineLevel="0" max="10" min="10" style="1" width="14.13"/>
  </cols>
  <sheetData>
    <row r="1" customFormat="false" ht="17.25" hidden="false" customHeight="fals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customFormat="false" ht="17.25" hidden="false" customHeight="false" outlineLevel="0" collapsed="false">
      <c r="A2" s="3"/>
      <c r="B2" s="4"/>
      <c r="C2" s="2"/>
      <c r="D2" s="2"/>
      <c r="E2" s="2"/>
      <c r="F2" s="2"/>
      <c r="G2" s="2"/>
      <c r="H2" s="2"/>
      <c r="I2" s="2" t="n">
        <v>166884.5</v>
      </c>
      <c r="J2" s="3"/>
    </row>
    <row r="3" customFormat="false" ht="17.25" hidden="false" customHeight="false" outlineLevel="0" collapsed="false">
      <c r="A3" s="3"/>
      <c r="B3" s="4"/>
      <c r="C3" s="2" t="s">
        <v>36</v>
      </c>
      <c r="D3" s="2" t="s">
        <v>13</v>
      </c>
      <c r="E3" s="2" t="n">
        <v>8</v>
      </c>
      <c r="F3" s="2" t="n">
        <v>587</v>
      </c>
      <c r="G3" s="2" t="n">
        <v>25</v>
      </c>
      <c r="H3" s="2" t="n">
        <f aca="false">F3*G3</f>
        <v>14675</v>
      </c>
      <c r="I3" s="2" t="n">
        <f aca="false">I2-H3</f>
        <v>152209.5</v>
      </c>
      <c r="J3" s="3"/>
    </row>
    <row r="4" customFormat="false" ht="17.25" hidden="false" customHeight="false" outlineLevel="0" collapsed="false">
      <c r="A4" s="3"/>
      <c r="B4" s="4"/>
      <c r="C4" s="2" t="s">
        <v>37</v>
      </c>
      <c r="D4" s="2" t="s">
        <v>13</v>
      </c>
      <c r="E4" s="2" t="n">
        <v>6</v>
      </c>
      <c r="F4" s="2" t="n">
        <v>447.6</v>
      </c>
      <c r="G4" s="2" t="n">
        <v>25</v>
      </c>
      <c r="H4" s="2" t="n">
        <f aca="false">F4*G4</f>
        <v>11190</v>
      </c>
      <c r="I4" s="2" t="n">
        <f aca="false">I3-H4</f>
        <v>141019.5</v>
      </c>
      <c r="J4" s="3"/>
    </row>
    <row r="5" customFormat="false" ht="17.25" hidden="false" customHeight="false" outlineLevel="0" collapsed="false">
      <c r="A5" s="3"/>
      <c r="B5" s="4"/>
      <c r="C5" s="2" t="s">
        <v>38</v>
      </c>
      <c r="D5" s="2" t="s">
        <v>13</v>
      </c>
      <c r="E5" s="2" t="n">
        <v>6</v>
      </c>
      <c r="F5" s="2" t="n">
        <v>443.8</v>
      </c>
      <c r="G5" s="2" t="n">
        <v>25</v>
      </c>
      <c r="H5" s="2" t="n">
        <f aca="false">F5*G5</f>
        <v>11095</v>
      </c>
      <c r="I5" s="2" t="n">
        <f aca="false">I4-H5</f>
        <v>129924.5</v>
      </c>
      <c r="J5" s="3"/>
    </row>
    <row r="6" customFormat="false" ht="17.25" hidden="false" customHeight="false" outlineLevel="0" collapsed="false">
      <c r="A6" s="3"/>
      <c r="B6" s="4"/>
      <c r="C6" s="2" t="s">
        <v>39</v>
      </c>
      <c r="D6" s="2" t="s">
        <v>13</v>
      </c>
      <c r="E6" s="2" t="n">
        <v>13</v>
      </c>
      <c r="F6" s="2" t="n">
        <v>846.9</v>
      </c>
      <c r="G6" s="2" t="n">
        <v>25</v>
      </c>
      <c r="H6" s="2" t="n">
        <f aca="false">F6*G6</f>
        <v>21172.5</v>
      </c>
      <c r="I6" s="2" t="n">
        <f aca="false">I5-H6</f>
        <v>108752</v>
      </c>
      <c r="J6" s="3"/>
    </row>
    <row r="7" customFormat="false" ht="17.25" hidden="false" customHeight="false" outlineLevel="0" collapsed="false">
      <c r="A7" s="3"/>
      <c r="B7" s="4"/>
      <c r="C7" s="2" t="s">
        <v>40</v>
      </c>
      <c r="D7" s="2" t="s">
        <v>13</v>
      </c>
      <c r="E7" s="2" t="n">
        <v>7</v>
      </c>
      <c r="F7" s="2" t="n">
        <v>409.2</v>
      </c>
      <c r="G7" s="2" t="n">
        <v>25</v>
      </c>
      <c r="H7" s="2" t="n">
        <f aca="false">F7*G7</f>
        <v>10230</v>
      </c>
      <c r="I7" s="2" t="n">
        <f aca="false">I6-H7</f>
        <v>98522</v>
      </c>
      <c r="J7" s="3"/>
    </row>
    <row r="8" customFormat="false" ht="17.25" hidden="false" customHeight="false" outlineLevel="0" collapsed="false">
      <c r="A8" s="3"/>
      <c r="B8" s="4"/>
      <c r="C8" s="2" t="s">
        <v>41</v>
      </c>
      <c r="D8" s="2" t="s">
        <v>13</v>
      </c>
      <c r="E8" s="2" t="n">
        <v>22</v>
      </c>
      <c r="F8" s="2" t="n">
        <v>1532.9</v>
      </c>
      <c r="G8" s="2" t="n">
        <v>25</v>
      </c>
      <c r="H8" s="2" t="n">
        <f aca="false">F8*G8</f>
        <v>38322.5</v>
      </c>
      <c r="I8" s="2" t="n">
        <f aca="false">I7-H8</f>
        <v>60199.5</v>
      </c>
      <c r="J8" s="3"/>
    </row>
    <row r="9" customFormat="false" ht="17.25" hidden="false" customHeight="false" outlineLevel="0" collapsed="false">
      <c r="A9" s="3"/>
      <c r="B9" s="4"/>
      <c r="C9" s="2" t="s">
        <v>42</v>
      </c>
      <c r="D9" s="2" t="s">
        <v>13</v>
      </c>
      <c r="E9" s="2" t="n">
        <v>9</v>
      </c>
      <c r="F9" s="2" t="n">
        <v>512</v>
      </c>
      <c r="G9" s="2" t="n">
        <v>25</v>
      </c>
      <c r="H9" s="2" t="n">
        <f aca="false">F9*G9</f>
        <v>12800</v>
      </c>
      <c r="I9" s="2" t="n">
        <f aca="false">I8-H9</f>
        <v>47399.5</v>
      </c>
      <c r="J9" s="3"/>
    </row>
    <row r="10" customFormat="false" ht="17.25" hidden="false" customHeight="false" outlineLevel="0" collapsed="false">
      <c r="A10" s="3"/>
      <c r="B10" s="4"/>
      <c r="C10" s="2" t="s">
        <v>43</v>
      </c>
      <c r="D10" s="2" t="s">
        <v>13</v>
      </c>
      <c r="E10" s="2" t="n">
        <v>4</v>
      </c>
      <c r="F10" s="2" t="n">
        <v>297.3</v>
      </c>
      <c r="G10" s="2" t="n">
        <v>25</v>
      </c>
      <c r="H10" s="2" t="n">
        <f aca="false">F10*G10</f>
        <v>7432.5</v>
      </c>
      <c r="I10" s="2" t="n">
        <f aca="false">I9-H10</f>
        <v>39967</v>
      </c>
      <c r="J10" s="3"/>
    </row>
    <row r="11" customFormat="false" ht="17.25" hidden="false" customHeight="false" outlineLevel="0" collapsed="false">
      <c r="A11" s="3" t="s">
        <v>44</v>
      </c>
      <c r="B11" s="4" t="n">
        <v>100000</v>
      </c>
      <c r="C11" s="2" t="s">
        <v>45</v>
      </c>
      <c r="D11" s="2" t="s">
        <v>13</v>
      </c>
      <c r="E11" s="2" t="n">
        <v>9</v>
      </c>
      <c r="F11" s="2" t="n">
        <v>685.5</v>
      </c>
      <c r="G11" s="2" t="n">
        <v>25</v>
      </c>
      <c r="H11" s="2" t="n">
        <f aca="false">F11*G11</f>
        <v>17137.5</v>
      </c>
      <c r="I11" s="2" t="n">
        <f aca="false">I10-H11+B11</f>
        <v>122829.5</v>
      </c>
      <c r="J11" s="3"/>
      <c r="K11" s="5"/>
    </row>
    <row r="12" customFormat="false" ht="17.25" hidden="false" customHeight="false" outlineLevel="0" collapsed="false">
      <c r="A12" s="3"/>
      <c r="B12" s="4"/>
      <c r="C12" s="2" t="s">
        <v>44</v>
      </c>
      <c r="D12" s="2" t="s">
        <v>13</v>
      </c>
      <c r="E12" s="2" t="n">
        <v>8</v>
      </c>
      <c r="F12" s="2" t="n">
        <v>628.2</v>
      </c>
      <c r="G12" s="2" t="n">
        <v>25</v>
      </c>
      <c r="H12" s="2" t="n">
        <f aca="false">F12*G12</f>
        <v>15705</v>
      </c>
      <c r="I12" s="2" t="n">
        <f aca="false">I11-H12+B12</f>
        <v>107124.5</v>
      </c>
      <c r="J12" s="3"/>
    </row>
    <row r="13" customFormat="false" ht="17.25" hidden="false" customHeight="false" outlineLevel="0" collapsed="false">
      <c r="A13" s="3"/>
      <c r="B13" s="4"/>
      <c r="C13" s="2" t="s">
        <v>46</v>
      </c>
      <c r="D13" s="2" t="s">
        <v>13</v>
      </c>
      <c r="E13" s="2" t="n">
        <v>5</v>
      </c>
      <c r="F13" s="2" t="n">
        <v>373.6</v>
      </c>
      <c r="G13" s="2" t="n">
        <v>25</v>
      </c>
      <c r="H13" s="2" t="n">
        <f aca="false">F13*G13</f>
        <v>9340</v>
      </c>
      <c r="I13" s="2" t="n">
        <f aca="false">I12-H13+B13</f>
        <v>97784.5</v>
      </c>
      <c r="J13" s="3"/>
    </row>
    <row r="14" customFormat="false" ht="17.25" hidden="false" customHeight="false" outlineLevel="0" collapsed="false">
      <c r="A14" s="3"/>
      <c r="B14" s="4"/>
      <c r="E14" s="2"/>
      <c r="F14" s="2"/>
      <c r="G14" s="2"/>
      <c r="H14" s="2" t="n">
        <v>54400</v>
      </c>
      <c r="I14" s="2" t="n">
        <f aca="false">I13-H14+B14</f>
        <v>43384.5</v>
      </c>
      <c r="J14" s="3" t="s">
        <v>47</v>
      </c>
    </row>
    <row r="15" customFormat="false" ht="17.25" hidden="false" customHeight="false" outlineLevel="0" collapsed="false">
      <c r="A15" s="3"/>
      <c r="B15" s="4"/>
      <c r="C15" s="2" t="s">
        <v>48</v>
      </c>
      <c r="D15" s="2" t="s">
        <v>49</v>
      </c>
      <c r="E15" s="2" t="n">
        <v>8</v>
      </c>
      <c r="F15" s="2" t="n">
        <v>581.1</v>
      </c>
      <c r="G15" s="2" t="n">
        <v>25</v>
      </c>
      <c r="H15" s="2" t="n">
        <f aca="false">F15*G15</f>
        <v>14527.5</v>
      </c>
      <c r="I15" s="2" t="n">
        <f aca="false">I14-H15+B15</f>
        <v>28857</v>
      </c>
      <c r="J15" s="3"/>
    </row>
    <row r="16" customFormat="false" ht="17.25" hidden="false" customHeight="false" outlineLevel="0" collapsed="false">
      <c r="A16" s="3"/>
      <c r="B16" s="2"/>
      <c r="C16" s="2"/>
      <c r="D16" s="2" t="s">
        <v>13</v>
      </c>
      <c r="E16" s="2" t="n">
        <v>3</v>
      </c>
      <c r="F16" s="2" t="n">
        <v>217.9</v>
      </c>
      <c r="G16" s="2" t="n">
        <v>25</v>
      </c>
      <c r="H16" s="2" t="n">
        <f aca="false">F16*G16</f>
        <v>5447.5</v>
      </c>
      <c r="I16" s="2" t="n">
        <f aca="false">I15-H16+B16</f>
        <v>23409.5</v>
      </c>
      <c r="J16" s="3"/>
    </row>
    <row r="17" customFormat="false" ht="17.25" hidden="false" customHeight="false" outlineLevel="0" collapsed="false">
      <c r="A17" s="3" t="s">
        <v>50</v>
      </c>
      <c r="B17" s="2" t="n">
        <v>100000</v>
      </c>
      <c r="C17" s="2" t="s">
        <v>51</v>
      </c>
      <c r="D17" s="2" t="s">
        <v>13</v>
      </c>
      <c r="E17" s="2" t="n">
        <v>13</v>
      </c>
      <c r="F17" s="2" t="n">
        <v>804.2</v>
      </c>
      <c r="G17" s="2" t="n">
        <v>25</v>
      </c>
      <c r="H17" s="2" t="n">
        <f aca="false">F17*G17</f>
        <v>20105</v>
      </c>
      <c r="I17" s="2" t="n">
        <f aca="false">I16-H17+B17</f>
        <v>103304.5</v>
      </c>
      <c r="J17" s="3"/>
    </row>
    <row r="18" customFormat="false" ht="17.25" hidden="false" customHeight="false" outlineLevel="0" collapsed="false">
      <c r="A18" s="3"/>
      <c r="B18" s="2"/>
      <c r="C18" s="2" t="s">
        <v>52</v>
      </c>
      <c r="D18" s="2" t="s">
        <v>13</v>
      </c>
      <c r="E18" s="2" t="n">
        <v>2</v>
      </c>
      <c r="F18" s="2" t="n">
        <v>102.7</v>
      </c>
      <c r="G18" s="2" t="n">
        <v>25</v>
      </c>
      <c r="H18" s="2" t="n">
        <f aca="false">F18*G18</f>
        <v>2567.5</v>
      </c>
      <c r="I18" s="2" t="n">
        <f aca="false">I17-H18+B18</f>
        <v>100737</v>
      </c>
      <c r="J18" s="3"/>
    </row>
    <row r="19" customFormat="false" ht="17.25" hidden="false" customHeight="false" outlineLevel="0" collapsed="false">
      <c r="A19" s="3" t="s">
        <v>53</v>
      </c>
      <c r="B19" s="2" t="n">
        <v>100000</v>
      </c>
      <c r="C19" s="2" t="s">
        <v>53</v>
      </c>
      <c r="D19" s="2" t="s">
        <v>13</v>
      </c>
      <c r="E19" s="2" t="n">
        <v>4</v>
      </c>
      <c r="F19" s="2" t="n">
        <v>239.9</v>
      </c>
      <c r="G19" s="2" t="n">
        <v>25</v>
      </c>
      <c r="H19" s="2" t="n">
        <f aca="false">F19*G19</f>
        <v>5997.5</v>
      </c>
      <c r="I19" s="2" t="n">
        <f aca="false">I18-H19+B19</f>
        <v>194739.5</v>
      </c>
      <c r="J19" s="3"/>
    </row>
    <row r="20" customFormat="false" ht="17.25" hidden="false" customHeight="false" outlineLevel="0" collapsed="false">
      <c r="A20" s="3"/>
      <c r="B20" s="2"/>
      <c r="C20" s="2" t="s">
        <v>54</v>
      </c>
      <c r="D20" s="2" t="s">
        <v>13</v>
      </c>
      <c r="E20" s="2" t="n">
        <v>7</v>
      </c>
      <c r="F20" s="2" t="n">
        <v>304.8</v>
      </c>
      <c r="G20" s="2" t="n">
        <v>25</v>
      </c>
      <c r="H20" s="2" t="n">
        <f aca="false">F20*G20</f>
        <v>7620</v>
      </c>
      <c r="I20" s="2" t="n">
        <f aca="false">I19-H20+B20</f>
        <v>187119.5</v>
      </c>
      <c r="J20" s="3"/>
    </row>
    <row r="21" customFormat="false" ht="17.25" hidden="false" customHeight="false" outlineLevel="0" collapsed="false">
      <c r="A21" s="3"/>
      <c r="B21" s="2"/>
      <c r="C21" s="3" t="s">
        <v>55</v>
      </c>
      <c r="D21" s="3" t="s">
        <v>56</v>
      </c>
      <c r="E21" s="3" t="n">
        <v>1</v>
      </c>
      <c r="F21" s="3" t="n">
        <v>75.8</v>
      </c>
      <c r="G21" s="3" t="n">
        <v>25</v>
      </c>
      <c r="H21" s="3" t="n">
        <f aca="false">F21*G21</f>
        <v>1895</v>
      </c>
      <c r="I21" s="3"/>
      <c r="J21" s="3"/>
    </row>
    <row r="22" customFormat="false" ht="17.25" hidden="false" customHeight="false" outlineLevel="0" collapsed="false">
      <c r="A22" s="3"/>
      <c r="B22" s="2"/>
      <c r="C22" s="3" t="s">
        <v>57</v>
      </c>
      <c r="D22" s="3" t="s">
        <v>56</v>
      </c>
      <c r="E22" s="3" t="n">
        <v>12</v>
      </c>
      <c r="F22" s="3" t="n">
        <v>677.2</v>
      </c>
      <c r="G22" s="3" t="n">
        <v>25</v>
      </c>
      <c r="H22" s="3" t="n">
        <f aca="false">F22*G22</f>
        <v>16930</v>
      </c>
      <c r="I22" s="3"/>
      <c r="J22" s="3"/>
    </row>
    <row r="23" customFormat="false" ht="17.25" hidden="false" customHeight="false" outlineLevel="0" collapsed="false">
      <c r="A23" s="3"/>
      <c r="B23" s="2"/>
      <c r="C23" s="3" t="s">
        <v>58</v>
      </c>
      <c r="D23" s="3" t="s">
        <v>56</v>
      </c>
      <c r="E23" s="3" t="n">
        <v>11</v>
      </c>
      <c r="F23" s="3" t="n">
        <v>699.2</v>
      </c>
      <c r="G23" s="3" t="n">
        <v>25</v>
      </c>
      <c r="H23" s="3" t="n">
        <f aca="false">F23*G23</f>
        <v>17480</v>
      </c>
      <c r="I23" s="3"/>
      <c r="J23" s="3"/>
    </row>
    <row r="24" customFormat="false" ht="17.25" hidden="false" customHeight="false" outlineLevel="0" collapsed="false">
      <c r="A24" s="3"/>
      <c r="B24" s="2"/>
      <c r="C24" s="3" t="s">
        <v>59</v>
      </c>
      <c r="D24" s="3" t="s">
        <v>56</v>
      </c>
      <c r="E24" s="3" t="n">
        <v>10</v>
      </c>
      <c r="F24" s="3" t="n">
        <v>491.5</v>
      </c>
      <c r="G24" s="3" t="n">
        <v>25</v>
      </c>
      <c r="H24" s="3" t="n">
        <f aca="false">F24*G24</f>
        <v>12287.5</v>
      </c>
      <c r="I24" s="3"/>
      <c r="J24" s="3"/>
    </row>
    <row r="25" customFormat="false" ht="17.25" hidden="false" customHeight="false" outlineLevel="0" collapsed="false">
      <c r="A25" s="3"/>
      <c r="B25" s="2"/>
      <c r="C25" s="3" t="s">
        <v>60</v>
      </c>
      <c r="D25" s="3" t="s">
        <v>56</v>
      </c>
      <c r="E25" s="3" t="n">
        <v>12</v>
      </c>
      <c r="F25" s="3" t="n">
        <v>578.1</v>
      </c>
      <c r="G25" s="3" t="n">
        <v>25</v>
      </c>
      <c r="H25" s="3" t="n">
        <f aca="false">F25*G25</f>
        <v>14452.5</v>
      </c>
      <c r="I25" s="3"/>
      <c r="J25" s="3"/>
    </row>
    <row r="26" customFormat="false" ht="17.25" hidden="false" customHeight="false" outlineLevel="0" collapsed="false">
      <c r="A26" s="3"/>
      <c r="B26" s="3"/>
      <c r="D26" s="3"/>
      <c r="E26" s="3"/>
      <c r="F26" s="3"/>
      <c r="G26" s="3"/>
      <c r="H26" s="3"/>
      <c r="I26" s="3"/>
      <c r="J26" s="3"/>
    </row>
    <row r="27" customFormat="false" ht="17.2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7.2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7.25" hidden="false" customHeight="false" outlineLevel="0" collapsed="false">
      <c r="B29" s="3"/>
    </row>
    <row r="30" customFormat="false" ht="17.25" hidden="false" customHeight="false" outlineLevel="0" collapsed="false">
      <c r="B30" s="3"/>
    </row>
    <row r="31" customFormat="false" ht="17.25" hidden="false" customHeight="false" outlineLevel="0" collapsed="false">
      <c r="B31" s="3"/>
    </row>
    <row r="32" customFormat="false" ht="17.25" hidden="false" customHeight="false" outlineLevel="0" collapsed="false">
      <c r="B32" s="3"/>
    </row>
    <row r="33" customFormat="false" ht="17.25" hidden="false" customHeight="false" outlineLevel="0" collapsed="false">
      <c r="B33" s="3"/>
    </row>
    <row r="34" customFormat="false" ht="17.25" hidden="false" customHeight="false" outlineLevel="0" collapsed="false">
      <c r="A34" s="3"/>
      <c r="B34" s="3"/>
    </row>
    <row r="35" customFormat="false" ht="17.25" hidden="false" customHeight="false" outlineLevel="0" collapsed="false">
      <c r="A35" s="3"/>
      <c r="B35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3.77"/>
    <col collapsed="false" customWidth="true" hidden="false" outlineLevel="0" max="2" min="2" style="1" width="13.13"/>
    <col collapsed="false" customWidth="true" hidden="false" outlineLevel="0" max="3" min="3" style="1" width="13.63"/>
    <col collapsed="false" customWidth="true" hidden="false" outlineLevel="0" max="6" min="6" style="1" width="10.37"/>
    <col collapsed="false" customWidth="true" hidden="false" outlineLevel="0" max="8" min="8" style="1" width="11.76"/>
    <col collapsed="false" customWidth="true" hidden="false" outlineLevel="0" max="9" min="9" style="1" width="13.13"/>
    <col collapsed="false" customWidth="true" hidden="false" outlineLevel="0" max="10" min="10" style="1" width="14.13"/>
  </cols>
  <sheetData>
    <row r="1" customFormat="false" ht="17.25" hidden="false" customHeight="false" outlineLevel="0" collapsed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customFormat="false" ht="17.25" hidden="false" customHeight="false" outlineLevel="0" collapsed="false">
      <c r="A2" s="3" t="n">
        <v>5.16</v>
      </c>
      <c r="B2" s="4" t="n">
        <v>50000</v>
      </c>
      <c r="C2" s="2"/>
      <c r="D2" s="2"/>
      <c r="E2" s="2"/>
      <c r="F2" s="2"/>
      <c r="G2" s="2"/>
      <c r="H2" s="2"/>
      <c r="I2" s="2" t="n">
        <v>50000</v>
      </c>
      <c r="J2" s="3"/>
    </row>
    <row r="3" customFormat="false" ht="17.25" hidden="false" customHeight="false" outlineLevel="0" collapsed="false">
      <c r="A3" s="3" t="n">
        <v>5.19</v>
      </c>
      <c r="B3" s="4" t="n">
        <v>50000</v>
      </c>
      <c r="C3" s="2" t="s">
        <v>48</v>
      </c>
      <c r="D3" s="2" t="s">
        <v>13</v>
      </c>
      <c r="E3" s="2" t="n">
        <v>31</v>
      </c>
      <c r="F3" s="2" t="n">
        <v>2155.6</v>
      </c>
      <c r="G3" s="2" t="n">
        <v>25</v>
      </c>
      <c r="H3" s="2" t="n">
        <f aca="false">F3*G3</f>
        <v>53890</v>
      </c>
      <c r="I3" s="2" t="n">
        <f aca="false">I2+B3-H3</f>
        <v>46110</v>
      </c>
      <c r="J3" s="3"/>
    </row>
    <row r="4" customFormat="false" ht="17.25" hidden="false" customHeight="false" outlineLevel="0" collapsed="false">
      <c r="A4" s="3" t="n">
        <v>5.17</v>
      </c>
      <c r="B4" s="4" t="n">
        <v>20000</v>
      </c>
      <c r="C4" s="2" t="s">
        <v>61</v>
      </c>
      <c r="D4" s="2" t="s">
        <v>13</v>
      </c>
      <c r="E4" s="2" t="n">
        <v>11</v>
      </c>
      <c r="F4" s="2" t="n">
        <v>806.3</v>
      </c>
      <c r="G4" s="2" t="n">
        <v>25</v>
      </c>
      <c r="H4" s="2" t="n">
        <f aca="false">F4*G4</f>
        <v>20157.5</v>
      </c>
      <c r="I4" s="2" t="n">
        <f aca="false">I3+B4-H4</f>
        <v>45952.5</v>
      </c>
      <c r="J4" s="3"/>
    </row>
    <row r="5" customFormat="false" ht="17.25" hidden="false" customHeight="false" outlineLevel="0" collapsed="false">
      <c r="A5" s="7" t="n">
        <v>5.2</v>
      </c>
      <c r="B5" s="4" t="n">
        <v>100000</v>
      </c>
      <c r="C5" s="2" t="s">
        <v>62</v>
      </c>
      <c r="D5" s="2" t="n">
        <v>0.5</v>
      </c>
      <c r="E5" s="2" t="n">
        <v>4</v>
      </c>
      <c r="F5" s="2" t="n">
        <v>253.3</v>
      </c>
      <c r="G5" s="2" t="n">
        <v>25</v>
      </c>
      <c r="H5" s="2" t="n">
        <f aca="false">F5*G5</f>
        <v>6332.5</v>
      </c>
      <c r="I5" s="2" t="n">
        <f aca="false">I4+B5-H5</f>
        <v>139620</v>
      </c>
      <c r="J5" s="3"/>
    </row>
    <row r="6" customFormat="false" ht="17.25" hidden="false" customHeight="false" outlineLevel="0" collapsed="false">
      <c r="A6" s="3"/>
      <c r="B6" s="4"/>
      <c r="C6" s="2"/>
      <c r="D6" s="2" t="s">
        <v>13</v>
      </c>
      <c r="E6" s="2" t="n">
        <v>17</v>
      </c>
      <c r="F6" s="2" t="n">
        <v>1035.3</v>
      </c>
      <c r="G6" s="2" t="n">
        <v>25</v>
      </c>
      <c r="H6" s="2" t="n">
        <f aca="false">F6*G6</f>
        <v>25882.5</v>
      </c>
      <c r="I6" s="2" t="n">
        <f aca="false">I5+B6-H6</f>
        <v>113737.5</v>
      </c>
      <c r="J6" s="3"/>
    </row>
    <row r="7" customFormat="false" ht="17.25" hidden="false" customHeight="false" outlineLevel="0" collapsed="false">
      <c r="A7" s="3"/>
      <c r="B7" s="4"/>
      <c r="C7" s="2" t="s">
        <v>63</v>
      </c>
      <c r="D7" s="2" t="s">
        <v>13</v>
      </c>
      <c r="E7" s="2" t="n">
        <v>23</v>
      </c>
      <c r="F7" s="2" t="n">
        <v>1493.5</v>
      </c>
      <c r="G7" s="2" t="n">
        <v>25</v>
      </c>
      <c r="H7" s="2" t="n">
        <f aca="false">F7*G7</f>
        <v>37337.5</v>
      </c>
      <c r="I7" s="2" t="n">
        <f aca="false">I6+B7-H7</f>
        <v>76400</v>
      </c>
      <c r="J7" s="3"/>
    </row>
    <row r="8" customFormat="false" ht="17.25" hidden="false" customHeight="false" outlineLevel="0" collapsed="false">
      <c r="A8" s="3"/>
      <c r="B8" s="4"/>
      <c r="C8" s="2"/>
      <c r="D8" s="2" t="n">
        <v>0.5</v>
      </c>
      <c r="E8" s="2" t="n">
        <v>2</v>
      </c>
      <c r="F8" s="2" t="n">
        <v>96.2</v>
      </c>
      <c r="G8" s="2" t="n">
        <v>25</v>
      </c>
      <c r="H8" s="2" t="n">
        <f aca="false">F8*G8</f>
        <v>2405</v>
      </c>
      <c r="I8" s="2" t="n">
        <f aca="false">I7+B8-H8</f>
        <v>73995</v>
      </c>
      <c r="J8" s="3"/>
    </row>
    <row r="9" customFormat="false" ht="17.25" hidden="false" customHeight="false" outlineLevel="0" collapsed="false">
      <c r="A9" s="3"/>
      <c r="B9" s="4"/>
      <c r="C9" s="2" t="s">
        <v>64</v>
      </c>
      <c r="D9" s="2" t="s">
        <v>13</v>
      </c>
      <c r="E9" s="2" t="n">
        <v>6</v>
      </c>
      <c r="F9" s="2" t="n">
        <v>426.2</v>
      </c>
      <c r="G9" s="2" t="n">
        <v>25</v>
      </c>
      <c r="H9" s="2" t="n">
        <f aca="false">F9*G9</f>
        <v>10655</v>
      </c>
      <c r="I9" s="2" t="n">
        <f aca="false">I8+B9-H9</f>
        <v>63340</v>
      </c>
      <c r="J9" s="3"/>
    </row>
    <row r="10" customFormat="false" ht="17.25" hidden="false" customHeight="false" outlineLevel="0" collapsed="false">
      <c r="A10" s="3"/>
      <c r="B10" s="4"/>
      <c r="C10" s="2" t="s">
        <v>51</v>
      </c>
      <c r="D10" s="2" t="s">
        <v>13</v>
      </c>
      <c r="E10" s="2" t="n">
        <v>14</v>
      </c>
      <c r="F10" s="2" t="n">
        <v>891.6</v>
      </c>
      <c r="G10" s="2" t="n">
        <v>25</v>
      </c>
      <c r="H10" s="2" t="n">
        <f aca="false">F10*G10</f>
        <v>22290</v>
      </c>
      <c r="I10" s="2" t="n">
        <f aca="false">I9+B10-H10</f>
        <v>41050</v>
      </c>
      <c r="J10" s="3"/>
    </row>
    <row r="11" customFormat="false" ht="17.25" hidden="false" customHeight="false" outlineLevel="0" collapsed="false">
      <c r="A11" s="3"/>
      <c r="B11" s="4"/>
      <c r="C11" s="2" t="s">
        <v>52</v>
      </c>
      <c r="D11" s="2" t="s">
        <v>13</v>
      </c>
      <c r="E11" s="2" t="n">
        <v>19</v>
      </c>
      <c r="F11" s="2" t="n">
        <v>1264.1</v>
      </c>
      <c r="G11" s="2" t="n">
        <v>25</v>
      </c>
      <c r="H11" s="2" t="n">
        <f aca="false">F11*G11</f>
        <v>31602.5</v>
      </c>
      <c r="I11" s="2" t="n">
        <f aca="false">I10+B11-H11</f>
        <v>9447.5</v>
      </c>
      <c r="J11" s="3"/>
      <c r="K11" s="5"/>
    </row>
    <row r="12" customFormat="false" ht="17.25" hidden="false" customHeight="false" outlineLevel="0" collapsed="false">
      <c r="A12" s="3"/>
      <c r="B12" s="4"/>
      <c r="C12" s="2" t="s">
        <v>65</v>
      </c>
      <c r="D12" s="2" t="s">
        <v>13</v>
      </c>
      <c r="E12" s="2" t="n">
        <v>1</v>
      </c>
      <c r="F12" s="2" t="n">
        <v>78.9</v>
      </c>
      <c r="G12" s="2" t="n">
        <v>25</v>
      </c>
      <c r="H12" s="2" t="n">
        <f aca="false">F12*G12</f>
        <v>1972.5</v>
      </c>
      <c r="I12" s="2" t="n">
        <f aca="false">I11+B12-H12</f>
        <v>7475</v>
      </c>
      <c r="J12" s="3"/>
      <c r="K12" s="5"/>
    </row>
    <row r="13" customFormat="false" ht="17.25" hidden="false" customHeight="false" outlineLevel="0" collapsed="false">
      <c r="A13" s="3" t="s">
        <v>54</v>
      </c>
      <c r="B13" s="4" t="n">
        <v>30000</v>
      </c>
      <c r="C13" s="2" t="s">
        <v>54</v>
      </c>
      <c r="D13" s="8" t="n">
        <v>0.5</v>
      </c>
      <c r="E13" s="8" t="n">
        <v>8</v>
      </c>
      <c r="F13" s="8" t="n">
        <v>290.2</v>
      </c>
      <c r="G13" s="8" t="n">
        <v>23</v>
      </c>
      <c r="H13" s="2" t="n">
        <f aca="false">F13*G13</f>
        <v>6674.6</v>
      </c>
      <c r="I13" s="2" t="n">
        <f aca="false">I12+B13-H13</f>
        <v>30800.4</v>
      </c>
      <c r="J13" s="3"/>
      <c r="K13" s="5"/>
    </row>
    <row r="14" customFormat="false" ht="17.25" hidden="false" customHeight="false" outlineLevel="0" collapsed="false">
      <c r="A14" s="3"/>
      <c r="B14" s="4"/>
      <c r="C14" s="2"/>
      <c r="D14" s="2"/>
      <c r="E14" s="2"/>
      <c r="F14" s="2"/>
      <c r="G14" s="2"/>
      <c r="H14" s="2"/>
      <c r="I14" s="2"/>
      <c r="J14" s="3"/>
      <c r="K14" s="5"/>
    </row>
    <row r="15" customFormat="false" ht="17.25" hidden="false" customHeight="false" outlineLevel="0" collapsed="false">
      <c r="A15" s="3"/>
      <c r="B15" s="4"/>
      <c r="C15" s="2"/>
      <c r="D15" s="2"/>
      <c r="E15" s="2"/>
      <c r="F15" s="2"/>
      <c r="G15" s="2"/>
      <c r="H15" s="2"/>
      <c r="I15" s="2"/>
      <c r="J15" s="3"/>
      <c r="K15" s="5"/>
    </row>
    <row r="16" customFormat="false" ht="17.25" hidden="false" customHeight="false" outlineLevel="0" collapsed="false">
      <c r="A16" s="3"/>
      <c r="B16" s="4" t="n">
        <f aca="false">SUM(B2:B15)</f>
        <v>250000</v>
      </c>
      <c r="C16" s="2"/>
      <c r="D16" s="2"/>
      <c r="E16" s="2"/>
      <c r="F16" s="2" t="n">
        <f aca="false">SUM(F2:F15)</f>
        <v>8791.2</v>
      </c>
      <c r="G16" s="2"/>
      <c r="H16" s="2" t="n">
        <f aca="false">SUM(H2:H15)</f>
        <v>219199.6</v>
      </c>
      <c r="I16" s="2" t="n">
        <f aca="false">B16-H16</f>
        <v>30800.4</v>
      </c>
      <c r="J16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lenovo</dc:creator>
  <dc:description/>
  <dc:language>en-US</dc:language>
  <cp:lastModifiedBy/>
  <dcterms:modified xsi:type="dcterms:W3CDTF">2026-05-31T19:46:54Z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66BDE7BCF1E340D5B3CB3AA918A43E15_12</vt:lpwstr>
  </property>
  <property fmtid="{D5CDD505-2E9C-101B-9397-08002B2CF9AE}" pid="4" name="KSOProductBuildVer">
    <vt:lpwstr>2052-12.1.0.26375</vt:lpwstr>
  </property>
</Properties>
</file>